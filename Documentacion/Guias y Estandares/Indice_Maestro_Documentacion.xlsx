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Índice Maestro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<sst xmlns="http://schemas.openxmlformats.org/spreadsheetml/2006/main" count="128" uniqueCount="74">
  <si>
    <t xml:space="preserve">ÍNDICE MAESTRO DE DOCUMENTACIÓN DEL PROYECTO</t>
  </si>
  <si>
    <t xml:space="preserve">Actualiza el nombre del proyecto y la fecha antes de compartir este archivo</t>
  </si>
  <si>
    <t xml:space="preserve">Categoría</t>
  </si>
  <si>
    <t xml:space="preserve">Documento</t>
  </si>
  <si>
    <t xml:space="preserve">Descripción</t>
  </si>
  <si>
    <t xml:space="preserve">Estado</t>
  </si>
  <si>
    <t xml:space="preserve">Responsable</t>
  </si>
  <si>
    <t xml:space="preserve">Última actualización</t>
  </si>
  <si>
    <t xml:space="preserve">Producto/Negocio</t>
  </si>
  <si>
    <t xml:space="preserve">Documento de Visión y Alcance</t>
  </si>
  <si>
    <t xml:space="preserve">Objetivo del proyecto, alcance, límites y stakeholders</t>
  </si>
  <si>
    <t xml:space="preserve">Pendiente</t>
  </si>
  <si>
    <t xml:space="preserve">Especificación de Requerimientos (SRS/PRD)</t>
  </si>
  <si>
    <t xml:space="preserve">Requerimientos funcionales y no funcionales</t>
  </si>
  <si>
    <t xml:space="preserve">Backlog / Historias de Usuario</t>
  </si>
  <si>
    <t xml:space="preserve">Con criterios de aceptación</t>
  </si>
  <si>
    <t xml:space="preserve">Matriz de Trazabilidad</t>
  </si>
  <si>
    <t xml:space="preserve">Requerimiento → funcionalidad → prueba</t>
  </si>
  <si>
    <t xml:space="preserve">Arquitectura/Técnico</t>
  </si>
  <si>
    <t xml:space="preserve">Documento de Arquitectura de Software</t>
  </si>
  <si>
    <t xml:space="preserve">Diagramas C4, componentes, capas</t>
  </si>
  <si>
    <t xml:space="preserve">Stack Tecnológico</t>
  </si>
  <si>
    <t xml:space="preserve">Lenguajes, frameworks, librerías y versiones</t>
  </si>
  <si>
    <t xml:space="preserve">Diagrama de Base de Datos</t>
  </si>
  <si>
    <t xml:space="preserve">Modelo entidad-relación / esquema</t>
  </si>
  <si>
    <t xml:space="preserve">Diseño de APIs</t>
  </si>
  <si>
    <t xml:space="preserve">Endpoints y contratos (OpenAPI/Swagger)</t>
  </si>
  <si>
    <t xml:space="preserve">Diagramas de Flujo / Secuencia</t>
  </si>
  <si>
    <t xml:space="preserve">Procesos clave del sistema</t>
  </si>
  <si>
    <t xml:space="preserve">Documento de Infraestructura</t>
  </si>
  <si>
    <t xml:space="preserve">Servidores, cloud, contenedores, CI/CD</t>
  </si>
  <si>
    <t xml:space="preserve">Estándares de Codificación</t>
  </si>
  <si>
    <t xml:space="preserve">Guías de estilo y convenciones de nombres</t>
  </si>
  <si>
    <t xml:space="preserve">Gestión de Proyecto</t>
  </si>
  <si>
    <t xml:space="preserve">Acta de Constitución (Project Charter)</t>
  </si>
  <si>
    <t xml:space="preserve">Formaliza el proyecto y su autoridad</t>
  </si>
  <si>
    <t xml:space="preserve">Plan de Proyecto</t>
  </si>
  <si>
    <t xml:space="preserve">Cronograma, hitos y entregables</t>
  </si>
  <si>
    <t xml:space="preserve">Plan de Gestión de Riesgos</t>
  </si>
  <si>
    <t xml:space="preserve">Riesgos identificados y mitigación</t>
  </si>
  <si>
    <t xml:space="preserve">Registro de Decisiones (ADR)</t>
  </si>
  <si>
    <t xml:space="preserve">Por qué se tomó cada decisión técnica</t>
  </si>
  <si>
    <t xml:space="preserve">Calidad/Pruebas</t>
  </si>
  <si>
    <t xml:space="preserve">Plan de Pruebas (Test Plan)</t>
  </si>
  <si>
    <t xml:space="preserve">Estrategia general de QA</t>
  </si>
  <si>
    <t xml:space="preserve">Casos de Prueba</t>
  </si>
  <si>
    <t xml:space="preserve">Unitarias, integración, aceptación</t>
  </si>
  <si>
    <t xml:space="preserve">Reporte de Bugs/Issues</t>
  </si>
  <si>
    <t xml:space="preserve">Formato estándar de seguimiento</t>
  </si>
  <si>
    <t xml:space="preserve">Seguridad</t>
  </si>
  <si>
    <t xml:space="preserve">Análisis de Seguridad</t>
  </si>
  <si>
    <t xml:space="preserve">Amenazas y controles</t>
  </si>
  <si>
    <t xml:space="preserve">Política de Manejo de Datos/Privacidad</t>
  </si>
  <si>
    <t xml:space="preserve">Si aplica según el proyecto</t>
  </si>
  <si>
    <t xml:space="preserve">Operación</t>
  </si>
  <si>
    <t xml:space="preserve">Manual de Despliegue (Deployment Guide)</t>
  </si>
  <si>
    <t xml:space="preserve">Pasos para desplegar el sistema</t>
  </si>
  <si>
    <t xml:space="preserve">Manual de Usuario / Manual Técnico</t>
  </si>
  <si>
    <t xml:space="preserve">Guía para usuarios finales o soporte</t>
  </si>
  <si>
    <t xml:space="preserve">Runbook / Guía de Operación</t>
  </si>
  <si>
    <t xml:space="preserve">Troubleshooting y monitoreo</t>
  </si>
  <si>
    <t xml:space="preserve">Changelog / Notas de Versión</t>
  </si>
  <si>
    <t xml:space="preserve">Historial de cambios por versión</t>
  </si>
  <si>
    <t xml:space="preserve">Desarrollo asistido por IA</t>
  </si>
  <si>
    <t xml:space="preserve">Registro de Prompts/Instrucciones Clave</t>
  </si>
  <si>
    <t xml:space="preserve">Trazabilidad de qué generó la IA</t>
  </si>
  <si>
    <t xml:space="preserve">Documento de Revisión y Validación Humana</t>
  </si>
  <si>
    <t xml:space="preserve">Qué código fue revisado y por quién</t>
  </si>
  <si>
    <t xml:space="preserve">Política de Uso de IA en el Proyecto</t>
  </si>
  <si>
    <t xml:space="preserve">Qué se le permite generar y límites</t>
  </si>
  <si>
    <t xml:space="preserve">RESUMEN DE AVANCE</t>
  </si>
  <si>
    <t xml:space="preserve">Total documentos</t>
  </si>
  <si>
    <t xml:space="preserve">Completos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</si>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</sst>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F4CCCC"/>
        <bgColor rgb="FFCCCCFF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205B6B"/>
        <bgColor rgb="FF1F3864"/>
      </patternFill>
    </fill>
    <fill>
      <patternFill patternType="solid">
        <fgColor rgb="FF833C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05B6B"/>
      <rgbColor rgb="FFB7B7B7"/>
      <rgbColor rgb="FF808080"/>
      <rgbColor rgb="FF9999FF"/>
      <rgbColor rgb="FF7030A0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833C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5" t="s">
        <v>9</v>
      </c>
      <c r="C5" s="6" t="s">
        <v>10</v>
      </c>
      <c r="D5" s="7" t="s">
        <v>11</v>
      </c>
      <c r="E5" s="8"/>
      <c r="F5" s="8"/>
    </row>
    <row r="6" customFormat="false" ht="23.85" hidden="false" customHeight="false" outlineLevel="0" collapsed="false">
      <c r="A6" s="4" t="s">
        <v>8</v>
      </c>
      <c r="B6" s="5" t="s">
        <v>12</v>
      </c>
      <c r="C6" s="6" t="s">
        <v>13</v>
      </c>
      <c r="D6" s="7" t="s">
        <v>11</v>
      </c>
      <c r="E6" s="8"/>
      <c r="F6" s="8"/>
    </row>
    <row r="7" customFormat="false" ht="15" hidden="false" customHeight="false" outlineLevel="0" collapsed="false">
      <c r="A7" s="4" t="s">
        <v>8</v>
      </c>
      <c r="B7" s="5" t="s">
        <v>14</v>
      </c>
      <c r="C7" s="6" t="s">
        <v>15</v>
      </c>
      <c r="D7" s="7" t="s">
        <v>11</v>
      </c>
      <c r="E7" s="8"/>
      <c r="F7" s="8"/>
    </row>
    <row r="8" customFormat="false" ht="15" hidden="false" customHeight="false" outlineLevel="0" collapsed="false">
      <c r="A8" s="4" t="s">
        <v>8</v>
      </c>
      <c r="B8" s="5" t="s">
        <v>16</v>
      </c>
      <c r="C8" s="6" t="s">
        <v>17</v>
      </c>
      <c r="D8" s="7" t="s">
        <v>11</v>
      </c>
      <c r="E8" s="8"/>
      <c r="F8" s="8"/>
    </row>
    <row r="9" customFormat="false" ht="23.85" hidden="false" customHeight="false" outlineLevel="0" collapsed="false">
      <c r="A9" s="9" t="s">
        <v>18</v>
      </c>
      <c r="B9" s="5" t="s">
        <v>19</v>
      </c>
      <c r="C9" s="6" t="s">
        <v>20</v>
      </c>
      <c r="D9" s="7" t="s">
        <v>11</v>
      </c>
      <c r="E9" s="8"/>
      <c r="F9" s="8"/>
    </row>
    <row r="10" customFormat="false" ht="15" hidden="false" customHeight="false" outlineLevel="0" collapsed="false">
      <c r="A10" s="9" t="s">
        <v>18</v>
      </c>
      <c r="B10" s="5" t="s">
        <v>21</v>
      </c>
      <c r="C10" s="6" t="s">
        <v>22</v>
      </c>
      <c r="D10" s="7" t="s">
        <v>11</v>
      </c>
      <c r="E10" s="8"/>
      <c r="F10" s="8"/>
    </row>
    <row r="11" customFormat="false" ht="15" hidden="false" customHeight="false" outlineLevel="0" collapsed="false">
      <c r="A11" s="9" t="s">
        <v>18</v>
      </c>
      <c r="B11" s="5" t="s">
        <v>23</v>
      </c>
      <c r="C11" s="6" t="s">
        <v>24</v>
      </c>
      <c r="D11" s="7" t="s">
        <v>11</v>
      </c>
      <c r="E11" s="8"/>
      <c r="F11" s="8"/>
    </row>
    <row r="12" customFormat="false" ht="15" hidden="false" customHeight="false" outlineLevel="0" collapsed="false">
      <c r="A12" s="9" t="s">
        <v>18</v>
      </c>
      <c r="B12" s="5" t="s">
        <v>25</v>
      </c>
      <c r="C12" s="6" t="s">
        <v>26</v>
      </c>
      <c r="D12" s="7" t="s">
        <v>11</v>
      </c>
      <c r="E12" s="8"/>
      <c r="F12" s="8"/>
    </row>
    <row r="13" customFormat="false" ht="15" hidden="false" customHeight="false" outlineLevel="0" collapsed="false">
      <c r="A13" s="9" t="s">
        <v>18</v>
      </c>
      <c r="B13" s="5" t="s">
        <v>27</v>
      </c>
      <c r="C13" s="6" t="s">
        <v>28</v>
      </c>
      <c r="D13" s="7" t="s">
        <v>11</v>
      </c>
      <c r="E13" s="8"/>
      <c r="F13" s="8"/>
    </row>
    <row r="14" customFormat="false" ht="15" hidden="false" customHeight="false" outlineLevel="0" collapsed="false">
      <c r="A14" s="9" t="s">
        <v>18</v>
      </c>
      <c r="B14" s="5" t="s">
        <v>29</v>
      </c>
      <c r="C14" s="6" t="s">
        <v>30</v>
      </c>
      <c r="D14" s="7" t="s">
        <v>11</v>
      </c>
      <c r="E14" s="8"/>
      <c r="F14" s="8"/>
    </row>
    <row r="15" customFormat="false" ht="15" hidden="false" customHeight="false" outlineLevel="0" collapsed="false">
      <c r="A15" s="9" t="s">
        <v>18</v>
      </c>
      <c r="B15" s="5" t="s">
        <v>31</v>
      </c>
      <c r="C15" s="6" t="s">
        <v>32</v>
      </c>
      <c r="D15" s="7" t="s">
        <v>11</v>
      </c>
      <c r="E15" s="8"/>
      <c r="F15" s="8"/>
    </row>
    <row r="16" customFormat="false" ht="15" hidden="false" customHeight="false" outlineLevel="0" collapsed="false">
      <c r="A16" s="10" t="s">
        <v>33</v>
      </c>
      <c r="B16" s="5" t="s">
        <v>34</v>
      </c>
      <c r="C16" s="6" t="s">
        <v>35</v>
      </c>
      <c r="D16" s="7" t="s">
        <v>11</v>
      </c>
      <c r="E16" s="8"/>
      <c r="F16" s="8"/>
    </row>
    <row r="17" customFormat="false" ht="15" hidden="false" customHeight="false" outlineLevel="0" collapsed="false">
      <c r="A17" s="10" t="s">
        <v>33</v>
      </c>
      <c r="B17" s="5" t="s">
        <v>36</v>
      </c>
      <c r="C17" s="6" t="s">
        <v>37</v>
      </c>
      <c r="D17" s="7" t="s">
        <v>11</v>
      </c>
      <c r="E17" s="8"/>
      <c r="F17" s="8"/>
    </row>
    <row r="18" customFormat="false" ht="15" hidden="false" customHeight="false" outlineLevel="0" collapsed="false">
      <c r="A18" s="10" t="s">
        <v>33</v>
      </c>
      <c r="B18" s="5" t="s">
        <v>38</v>
      </c>
      <c r="C18" s="6" t="s">
        <v>39</v>
      </c>
      <c r="D18" s="7" t="s">
        <v>11</v>
      </c>
      <c r="E18" s="8"/>
      <c r="F18" s="8"/>
    </row>
    <row r="19" customFormat="false" ht="15" hidden="false" customHeight="false" outlineLevel="0" collapsed="false">
      <c r="A19" s="10" t="s">
        <v>33</v>
      </c>
      <c r="B19" s="5" t="s">
        <v>40</v>
      </c>
      <c r="C19" s="6" t="s">
        <v>41</v>
      </c>
      <c r="D19" s="7" t="s">
        <v>11</v>
      </c>
      <c r="E19" s="8"/>
      <c r="F19" s="8"/>
    </row>
    <row r="20" customFormat="false" ht="15" hidden="false" customHeight="false" outlineLevel="0" collapsed="false">
      <c r="A20" s="11" t="s">
        <v>42</v>
      </c>
      <c r="B20" s="5" t="s">
        <v>43</v>
      </c>
      <c r="C20" s="6" t="s">
        <v>44</v>
      </c>
      <c r="D20" s="7" t="s">
        <v>11</v>
      </c>
      <c r="E20" s="8"/>
      <c r="F20" s="8"/>
    </row>
    <row r="21" customFormat="false" ht="15" hidden="false" customHeight="false" outlineLevel="0" collapsed="false">
      <c r="A21" s="11" t="s">
        <v>42</v>
      </c>
      <c r="B21" s="5" t="s">
        <v>45</v>
      </c>
      <c r="C21" s="6" t="s">
        <v>46</v>
      </c>
      <c r="D21" s="7" t="s">
        <v>11</v>
      </c>
      <c r="E21" s="8"/>
      <c r="F21" s="8"/>
    </row>
    <row r="22" customFormat="false" ht="15" hidden="false" customHeight="false" outlineLevel="0" collapsed="false">
      <c r="A22" s="11" t="s">
        <v>42</v>
      </c>
      <c r="B22" s="5" t="s">
        <v>47</v>
      </c>
      <c r="C22" s="6" t="s">
        <v>48</v>
      </c>
      <c r="D22" s="7" t="s">
        <v>11</v>
      </c>
      <c r="E22" s="8"/>
      <c r="F22" s="8"/>
    </row>
    <row r="23" customFormat="false" ht="15" hidden="false" customHeight="false" outlineLevel="0" collapsed="false">
      <c r="A23" s="12" t="s">
        <v>49</v>
      </c>
      <c r="B23" s="5" t="s">
        <v>50</v>
      </c>
      <c r="C23" s="6" t="s">
        <v>51</v>
      </c>
      <c r="D23" s="7" t="s">
        <v>11</v>
      </c>
      <c r="E23" s="8"/>
      <c r="F23" s="8"/>
    </row>
    <row r="24" customFormat="false" ht="23.85" hidden="false" customHeight="false" outlineLevel="0" collapsed="false">
      <c r="A24" s="12" t="s">
        <v>49</v>
      </c>
      <c r="B24" s="5" t="s">
        <v>52</v>
      </c>
      <c r="C24" s="6" t="s">
        <v>53</v>
      </c>
      <c r="D24" s="7" t="s">
        <v>11</v>
      </c>
      <c r="E24" s="8"/>
      <c r="F24" s="8"/>
    </row>
    <row r="25" customFormat="false" ht="23.85" hidden="false" customHeight="false" outlineLevel="0" collapsed="false">
      <c r="A25" s="13" t="s">
        <v>54</v>
      </c>
      <c r="B25" s="5" t="s">
        <v>55</v>
      </c>
      <c r="C25" s="6" t="s">
        <v>56</v>
      </c>
      <c r="D25" s="7" t="s">
        <v>11</v>
      </c>
      <c r="E25" s="8"/>
      <c r="F25" s="8"/>
    </row>
    <row r="26" customFormat="false" ht="15" hidden="false" customHeight="false" outlineLevel="0" collapsed="false">
      <c r="A26" s="13" t="s">
        <v>54</v>
      </c>
      <c r="B26" s="5" t="s">
        <v>57</v>
      </c>
      <c r="C26" s="6" t="s">
        <v>58</v>
      </c>
      <c r="D26" s="7" t="s">
        <v>11</v>
      </c>
      <c r="E26" s="8"/>
      <c r="F26" s="8"/>
    </row>
    <row r="27" customFormat="false" ht="15" hidden="false" customHeight="false" outlineLevel="0" collapsed="false">
      <c r="A27" s="13" t="s">
        <v>54</v>
      </c>
      <c r="B27" s="5" t="s">
        <v>59</v>
      </c>
      <c r="C27" s="6" t="s">
        <v>60</v>
      </c>
      <c r="D27" s="7" t="s">
        <v>11</v>
      </c>
      <c r="E27" s="8"/>
      <c r="F27" s="8"/>
    </row>
    <row r="28" customFormat="false" ht="15" hidden="false" customHeight="false" outlineLevel="0" collapsed="false">
      <c r="A28" s="13" t="s">
        <v>54</v>
      </c>
      <c r="B28" s="5" t="s">
        <v>61</v>
      </c>
      <c r="C28" s="6" t="s">
        <v>62</v>
      </c>
      <c r="D28" s="7" t="s">
        <v>11</v>
      </c>
      <c r="E28" s="8"/>
      <c r="F28" s="8"/>
    </row>
    <row r="29" customFormat="false" ht="23.85" hidden="false" customHeight="false" outlineLevel="0" collapsed="false">
      <c r="A29" s="14" t="s">
        <v>63</v>
      </c>
      <c r="B29" s="5" t="s">
        <v>64</v>
      </c>
      <c r="C29" s="6" t="s">
        <v>65</v>
      </c>
      <c r="D29" s="7" t="s">
        <v>11</v>
      </c>
      <c r="E29" s="8"/>
      <c r="F29" s="8"/>
    </row>
    <row r="30" customFormat="false" ht="23.85" hidden="false" customHeight="false" outlineLevel="0" collapsed="false">
      <c r="A30" s="14" t="s">
        <v>63</v>
      </c>
      <c r="B30" s="5" t="s">
        <v>66</v>
      </c>
      <c r="C30" s="6" t="s">
        <v>67</v>
      </c>
      <c r="D30" s="7" t="s">
        <v>11</v>
      </c>
      <c r="E30" s="8"/>
      <c r="F30" s="8"/>
    </row>
    <row r="31" customFormat="false" ht="23.85" hidden="false" customHeight="false" outlineLevel="0" collapsed="false">
      <c r="A31" s="14" t="s">
        <v>63</v>
      </c>
      <c r="B31" s="5" t="s">
        <v>68</v>
      </c>
      <c r="C31" s="6" t="s">
        <v>69</v>
      </c>
      <c r="D31" s="7" t="s">
        <v>11</v>
      </c>
      <c r="E31" s="8"/>
      <c r="F31" s="8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D5:D31" type="list">
      <formula1>"Pendiente,En progreso,Completo,No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27.75" hidden="false" customHeight="true" outlineLevel="0" collapsed="false">
      <c r="A1" s="1" t="s">
        <v>70</v>
      </c>
      <c r="B1" s="1"/>
      <c r="C1" s="1"/>
    </row>
    <row r="3" customFormat="false" ht="15" hidden="false" customHeight="false" outlineLevel="0" collapsed="false">
      <c r="A3" s="15" t="s">
        <v>2</v>
      </c>
      <c r="B3" s="15" t="s">
        <v>71</v>
      </c>
      <c r="C3" s="15" t="s">
        <v>72</v>
      </c>
    </row>
    <row r="4" customFormat="false" ht="15" hidden="false" customHeight="false" outlineLevel="0" collapsed="false">
      <c r="A4" s="16" t="s">
        <v>8</v>
      </c>
      <c r="B4" s="17" t="n">
        <f aca="false">COUNTIF('Índice Maestro'!A5:A31,A4)</f>
        <v>4</v>
      </c>
      <c r="C4" s="17" t="n">
        <f aca="false">COUNTIFS('Índice Maestro'!A5:A31,A4,'Índice Maestro'!D5:D31,"Completo")</f>
        <v>0</v>
      </c>
    </row>
    <row r="5" customFormat="false" ht="15" hidden="false" customHeight="false" outlineLevel="0" collapsed="false">
      <c r="A5" s="18" t="s">
        <v>18</v>
      </c>
      <c r="B5" s="17" t="n">
        <f aca="false">COUNTIF('Índice Maestro'!A5:A31,A5)</f>
        <v>7</v>
      </c>
      <c r="C5" s="17" t="n">
        <f aca="false">COUNTIFS('Índice Maestro'!A5:A31,A5,'Índice Maestro'!D5:D31,"Completo")</f>
        <v>0</v>
      </c>
    </row>
    <row r="6" customFormat="false" ht="15" hidden="false" customHeight="false" outlineLevel="0" collapsed="false">
      <c r="A6" s="19" t="s">
        <v>33</v>
      </c>
      <c r="B6" s="17" t="n">
        <f aca="false">COUNTIF('Índice Maestro'!A5:A31,A6)</f>
        <v>4</v>
      </c>
      <c r="C6" s="17" t="n">
        <f aca="false">COUNTIFS('Índice Maestro'!A5:A31,A6,'Índice Maestro'!D5:D31,"Completo")</f>
        <v>0</v>
      </c>
    </row>
    <row r="7" customFormat="false" ht="15" hidden="false" customHeight="false" outlineLevel="0" collapsed="false">
      <c r="A7" s="20" t="s">
        <v>42</v>
      </c>
      <c r="B7" s="17" t="n">
        <f aca="false">COUNTIF('Índice Maestro'!A5:A31,A7)</f>
        <v>3</v>
      </c>
      <c r="C7" s="17" t="n">
        <f aca="false">COUNTIFS('Índice Maestro'!A5:A31,A7,'Índice Maestro'!D5:D31,"Completo")</f>
        <v>0</v>
      </c>
    </row>
    <row r="8" customFormat="false" ht="15" hidden="false" customHeight="false" outlineLevel="0" collapsed="false">
      <c r="A8" s="21" t="s">
        <v>49</v>
      </c>
      <c r="B8" s="17" t="n">
        <f aca="false">COUNTIF('Índice Maestro'!A5:A31,A8)</f>
        <v>2</v>
      </c>
      <c r="C8" s="17" t="n">
        <f aca="false">COUNTIFS('Índice Maestro'!A5:A31,A8,'Índice Maestro'!D5:D31,"Completo")</f>
        <v>0</v>
      </c>
    </row>
    <row r="9" customFormat="false" ht="15" hidden="false" customHeight="false" outlineLevel="0" collapsed="false">
      <c r="A9" s="22" t="s">
        <v>54</v>
      </c>
      <c r="B9" s="17" t="n">
        <f aca="false">COUNTIF('Índice Maestro'!A5:A31,A9)</f>
        <v>4</v>
      </c>
      <c r="C9" s="17" t="n">
        <f aca="false">COUNTIFS('Índice Maestro'!A5:A31,A9,'Índice Maestro'!D5:D31,"Completo")</f>
        <v>0</v>
      </c>
    </row>
    <row r="10" customFormat="false" ht="15" hidden="false" customHeight="false" outlineLevel="0" collapsed="false">
      <c r="A10" s="23" t="s">
        <v>63</v>
      </c>
      <c r="B10" s="17" t="n">
        <f aca="false">COUNTIF('Índice Maestro'!A5:A31,A10)</f>
        <v>3</v>
      </c>
      <c r="C10" s="17" t="n">
        <f aca="false">COUNTIFS('Índice Maestro'!A5:A31,A10,'Índice Maestro'!D5:D31,"Completo")</f>
        <v>0</v>
      </c>
    </row>
    <row r="11" customFormat="false" ht="15" hidden="false" customHeight="false" outlineLevel="0" collapsed="false">
      <c r="A11" s="24" t="s">
        <v>73</v>
      </c>
      <c r="B11" s="24" t="n">
        <f aca="false">SUM(B4:B10)</f>
        <v>27</v>
      </c>
      <c r="C11" s="24" t="n">
        <f aca="false">SUM(C4:C10)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2026-07-16T00:55:40Z</dcterms:created>
  <dc:creator>openpyxl</dc:creator>
  <dc:description/>
  <dc:language>en-US</dc:language>
  <cp:lastModifiedBy/>
  <dcterms:modified xsi:type="dcterms:W3CDTF">2026-07-16T00:55:40Z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